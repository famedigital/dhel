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tabRatio="5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<sst xmlns="http://schemas.openxmlformats.org/spreadsheetml/2006/main" count="53" uniqueCount="53">
  <si>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DEWACHEN HOTEL &amp; SPA</t>
  </si>
  <si>
    <t>Phobjikha Valley · Bhutan</t>
  </si>
  <si>
    <t>reservation@dewachenhospitality.com · finance@dewachenhospitality.com</t>
  </si>
  <si>
    <t>Tel: 975-17117508, 17125311, 77162204, 17117611</t>
  </si>
  <si>
    <t>www.dewachenhospitality.com · TPN: HAB00261</t>
  </si>
  <si>
    <t>INVOICE</t>
  </si>
  <si>
    <t>BILL TO</t>
  </si>
  <si>
    <t>Invoice No.</t>
  </si>
  <si>
    <t>Silver Pine</t>
  </si>
  <si>
    <t>Date</t>
  </si>
  <si>
    <t>Group / Pax</t>
  </si>
  <si>
    <t>2 pax</t>
  </si>
  <si>
    <t>Remarks</t>
  </si>
  <si>
    <t>map</t>
  </si>
  <si>
    <t>ACCOMMODATION</t>
  </si>
  <si>
    <t>ROOM TYPE</t>
  </si>
  <si>
    <t>ROOMS</t>
  </si>
  <si>
    <t>NIGHTS</t>
  </si>
  <si>
    <t>ROOM RATE</t>
  </si>
  <si>
    <t>CHECK IN</t>
  </si>
  <si>
    <t>CHECK OUT</t>
  </si>
  <si>
    <t>TOTAL</t>
  </si>
  <si>
    <t>Twin</t>
  </si>
  <si>
    <t>28/09/26</t>
  </si>
  <si>
    <t>29/09/26</t>
  </si>
  <si>
    <t>Discount</t>
  </si>
  <si>
    <t>Total A</t>
  </si>
  <si>
    <t>MEALS</t>
  </si>
  <si>
    <t>PAX</t>
  </si>
  <si>
    <t>MEAL</t>
  </si>
  <si>
    <t>DAYS</t>
  </si>
  <si>
    <t>RATE</t>
  </si>
  <si>
    <t>AMOUNT</t>
  </si>
  <si>
    <t xml:space="preserve">map </t>
  </si>
  <si>
    <t>Total B</t>
  </si>
  <si>
    <t>Total Amount (A + B)</t>
  </si>
  <si>
    <t>10% Service Charge</t>
  </si>
  <si>
    <t>5% GST</t>
  </si>
  <si>
    <t>TOTAL NET PAYABLE (Nu.)</t>
  </si>
  <si>
    <t>Deposit Received</t>
  </si>
  <si>
    <t>Balance Due</t>
  </si>
  <si>
    <t>BANK DETAILS</t>
  </si>
  <si>
    <t>Beneficiary Name</t>
  </si>
  <si>
    <t>Dewachen Hotel</t>
  </si>
  <si>
    <t>Account Number</t>
  </si>
  <si>
    <t>611194361</t>
  </si>
  <si>
    <t>Bank Name</t>
  </si>
  <si>
    <t>Bhutan National Bank Limited, Thimphu, Bhutan</t>
  </si>
  <si>
    <t>TPN</t>
  </si>
  <si>
    <t>HAB00261</t>
  </si>
  <si>
    <t>TERMS &amp; CONDITIONS</t>
  </si>
  <si>
    <t>1. Reservations held will be released on failure to make payment by the given due date; no separate notice will be sent.  2. Please email a copy of the bank remittance receipt to finance@dewachenhospitality.com.  3. Kindly refer to the confirmation letter for reservation &amp; cancellation policies. For any queries, please feel free to contact us.</t>
  </si>
  <si>
    <t>Thank you for choosing Dewachen Hotel &amp; Spa · A property of Dewachen Hospitality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</si>
</sst>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8">
    <font>
      <sz val="11"/>
      <color theme="1"/>
      <name val="Calibri"/>
      <charset val="1"/>
    </font>
    <font>
      <b/>
      <sz val="16"/>
      <color rgb="FF1E3D34"/>
      <name val="Georgia"/>
      <charset val="1"/>
    </font>
    <font>
      <sz val="9.5"/>
      <color rgb="FF6B6B6B"/>
      <name val="Georgia"/>
      <charset val="1"/>
    </font>
    <font>
      <sz val="8.5"/>
      <color rgb="FF6B6B6B"/>
      <name val="Georgia"/>
      <charset val="1"/>
    </font>
    <font>
      <b/>
      <sz val="20"/>
      <color rgb="FF1E3D34"/>
      <name val="Georgia"/>
      <charset val="1"/>
    </font>
    <font>
      <b/>
      <sz val="9"/>
      <color rgb="FF9A7B3F"/>
      <name val="Georgia"/>
      <charset val="1"/>
    </font>
    <font>
      <b/>
      <sz val="9.5"/>
      <color rgb="FF6B6B6B"/>
      <name val="Georgia"/>
      <charset val="1"/>
    </font>
    <font>
      <sz val="10"/>
      <color rgb="FF1A1A1A"/>
      <name val="Georgia"/>
      <charset val="1"/>
    </font>
    <font>
      <b/>
      <sz val="10"/>
      <color rgb="FF1E3D34"/>
      <name val="Georgia"/>
      <charset val="1"/>
    </font>
    <font>
      <b/>
      <sz val="9"/>
      <color rgb="FF1A1A1A"/>
      <name val="Georgia"/>
      <charset val="1"/>
    </font>
    <font>
      <sz val="10"/>
      <color rgb="FF6B6B6B"/>
      <name val="Georgia"/>
      <charset val="1"/>
    </font>
    <font>
      <b/>
      <sz val="10"/>
      <color rgb="FF1A1A1A"/>
      <name val="Georgia"/>
      <charset val="1"/>
    </font>
    <font>
      <b/>
      <sz val="11"/>
      <color rgb="FFFFFFFF"/>
      <name val="Georgia"/>
      <charset val="1"/>
    </font>
    <font>
      <b/>
      <sz val="10"/>
      <color rgb="FF9A7B3F"/>
      <name val="Georgia"/>
      <charset val="1"/>
    </font>
    <font>
      <sz val="9.5"/>
      <color rgb="FF1A1A1A"/>
      <name val="Georgia"/>
      <charset val="1"/>
    </font>
    <font>
      <b/>
      <sz val="9"/>
      <color rgb="FF6B6B6B"/>
      <name val="Georgia"/>
      <charset val="1"/>
    </font>
    <font>
      <b/>
      <i/>
      <sz val="10"/>
      <color rgb="FF9A7B3F"/>
      <name val="Georg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3EE"/>
        <bgColor rgb="FFFFFFFF"/>
      </patternFill>
    </fill>
    <fill>
      <patternFill patternType="solid">
        <fgColor rgb="FF9A7B3F"/>
        <bgColor rgb="FF8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9A7B3F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1A1A1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6" borderId="9" applyNumberFormat="0" applyAlignment="0" applyProtection="0">
      <alignment vertical="center"/>
    </xf>
    <xf numFmtId="0" fontId="30" fillId="7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0" fillId="0" borderId="1" xfId="0" applyBorder="1"/>
    <xf numFmtId="0" fontId="4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/>
    <xf numFmtId="58" fontId="7" fillId="0" borderId="2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  <xf numFmtId="0" fontId="12" fillId="3" borderId="0" xfId="0" applyFont="1" applyFill="1" applyBorder="1" applyAlignment="1">
      <alignment horizontal="right" vertical="center" wrapText="1"/>
    </xf>
    <xf numFmtId="4" fontId="12" fillId="3" borderId="0" xfId="0" applyNumberFormat="1" applyFont="1" applyFill="1" applyAlignment="1">
      <alignment horizontal="right" vertical="center" wrapText="1"/>
    </xf>
    <xf numFmtId="4" fontId="7" fillId="0" borderId="2" xfId="0" applyNumberFormat="1" applyFont="1" applyBorder="1" applyAlignment="1">
      <alignment horizontal="right" vertical="center" wrapText="1"/>
    </xf>
    <xf numFmtId="4" fontId="11" fillId="0" borderId="5" xfId="0" applyNumberFormat="1" applyFont="1" applyBorder="1" applyAlignment="1">
      <alignment horizontal="right" vertical="center" wrapText="1"/>
    </xf>
    <xf numFmtId="0" fontId="13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9A7B3F"/>
      <rgbColor rgb="00800080"/>
      <rgbColor rgb="00008080"/>
      <rgbColor rgb="00C0C0C0"/>
      <rgbColor rgb="00808080"/>
      <rgbColor rgb="009999FF"/>
      <rgbColor rgb="00993366"/>
      <rgbColor rgb="00F5F3EE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B6B6B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1E3D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552240</xdr:colOff>
      <xdr:row>5</xdr:row>
      <xdr:rowOff>132840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171450" y="182880"/>
          <a:ext cx="551815" cy="89471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H49"/>
  <sheetViews>
    <sheetView showGridLines="0" tabSelected="1" topLeftCell="A17" workbookViewId="0">
      <selection activeCell="H36" sqref="H36"/>
    </sheetView>
  </sheetViews>
  <sheetFormatPr defaultColWidth="8.67592592592593" defaultRowHeight="14.4" outlineLevelCol="7"/>
  <cols>
    <col min="1" max="1" width="2.5" customWidth="1"/>
    <col min="2" max="2" width="16" customWidth="1"/>
    <col min="3" max="3" width="9" customWidth="1"/>
    <col min="4" max="4" width="8" customWidth="1"/>
    <col min="5" max="5" width="12" customWidth="1"/>
    <col min="6" max="6" width="13" customWidth="1"/>
    <col min="7" max="7" width="19" customWidth="1"/>
    <col min="8" max="8" width="15" customWidth="1"/>
    <col min="9" max="9" width="2.5" customWidth="1"/>
  </cols>
  <sheetData>
    <row r="2" ht="21.75" customHeight="1" spans="2:8">
      <c r="E2" s="1" t="s">
        <v>0</v>
      </c>
      <c r="F2" s="1"/>
      <c r="G2" s="1"/>
      <c r="H2" s="1"/>
    </row>
    <row r="3" ht="12.75" customHeight="1" spans="2:8">
      <c r="E3" s="2" t="s">
        <v>1</v>
      </c>
      <c r="F3" s="2"/>
      <c r="G3" s="2"/>
      <c r="H3" s="2"/>
    </row>
    <row r="4" ht="12.75" customHeight="1" spans="2:8">
      <c r="E4" s="3" t="s">
        <v>2</v>
      </c>
      <c r="F4" s="3"/>
      <c r="G4" s="3"/>
      <c r="H4" s="3"/>
    </row>
    <row r="5" ht="12.75" customHeight="1" spans="2:8">
      <c r="E5" s="3" t="s">
        <v>3</v>
      </c>
      <c r="F5" s="3"/>
      <c r="G5" s="3"/>
      <c r="H5" s="3"/>
    </row>
    <row r="6" ht="12.75" customHeight="1" spans="2:8">
      <c r="E6" s="3" t="s">
        <v>4</v>
      </c>
      <c r="F6" s="3"/>
      <c r="G6" s="3"/>
      <c r="H6" s="3"/>
    </row>
    <row r="7" ht="6" customHeight="1" spans="2:8">
      <c r="B7" s="4"/>
      <c r="C7" s="4"/>
      <c r="D7" s="4"/>
      <c r="E7" s="4"/>
      <c r="F7" s="4"/>
      <c r="G7" s="4"/>
      <c r="H7" s="4"/>
    </row>
    <row r="9" ht="30" customHeight="1" spans="2:8">
      <c r="B9" s="5" t="s">
        <v>5</v>
      </c>
      <c r="C9" s="5"/>
      <c r="D9" s="5"/>
    </row>
    <row r="10" ht="6" customHeight="1"/>
    <row r="11" spans="2:8">
      <c r="B11" s="6" t="s">
        <v>6</v>
      </c>
      <c r="F11" s="7" t="s">
        <v>7</v>
      </c>
      <c r="G11" s="8"/>
      <c r="H11" s="8"/>
    </row>
    <row r="12" spans="2:8">
      <c r="B12" s="9" t="s">
        <v>8</v>
      </c>
      <c r="C12" s="9"/>
      <c r="D12" s="9"/>
      <c r="F12" s="7" t="s">
        <v>9</v>
      </c>
      <c r="G12" s="10">
        <v>46364</v>
      </c>
      <c r="H12" s="8"/>
    </row>
    <row r="13" spans="2:8">
      <c r="B13" s="9"/>
      <c r="C13" s="9"/>
      <c r="D13" s="9"/>
      <c r="F13" s="7" t="s">
        <v>10</v>
      </c>
      <c r="G13" s="8" t="s">
        <v>11</v>
      </c>
      <c r="H13" s="8"/>
    </row>
    <row r="14" spans="2:8">
      <c r="B14" s="9"/>
      <c r="C14" s="9"/>
      <c r="D14" s="9"/>
      <c r="F14" s="7" t="s">
        <v>12</v>
      </c>
      <c r="G14" s="8" t="s">
        <v>13</v>
      </c>
      <c r="H14" s="8"/>
    </row>
    <row r="16" ht="15" customHeight="1" spans="2:8">
      <c r="B16" s="11" t="s">
        <v>14</v>
      </c>
      <c r="C16" s="11"/>
      <c r="D16" s="11"/>
      <c r="E16" s="11"/>
      <c r="F16" s="11"/>
      <c r="G16" s="11"/>
      <c r="H16" s="11"/>
    </row>
    <row r="17" ht="19.5" customHeight="1" spans="2:8">
      <c r="B17" s="12" t="s">
        <v>15</v>
      </c>
      <c r="C17" s="12" t="s">
        <v>16</v>
      </c>
      <c r="D17" s="12" t="s">
        <v>17</v>
      </c>
      <c r="E17" s="12" t="s">
        <v>18</v>
      </c>
      <c r="F17" s="12" t="s">
        <v>19</v>
      </c>
      <c r="G17" s="12" t="s">
        <v>20</v>
      </c>
      <c r="H17" s="12" t="s">
        <v>21</v>
      </c>
    </row>
    <row r="18" spans="2:8">
      <c r="B18" s="13" t="s">
        <v>22</v>
      </c>
      <c r="C18" s="14">
        <v>1</v>
      </c>
      <c r="D18" s="14">
        <v>1</v>
      </c>
      <c r="E18" s="15">
        <v>6000</v>
      </c>
      <c r="F18" s="14" t="s">
        <v>23</v>
      </c>
      <c r="G18" s="14" t="s">
        <v>24</v>
      </c>
      <c r="H18" s="16">
        <f>IF(AND(C18&lt;&gt;"",D18&lt;&gt;"",E18&lt;&gt;""),C18*D18*E18,"")</f>
        <v>6000</v>
      </c>
    </row>
    <row r="19" spans="2:8">
      <c r="B19" s="13"/>
      <c r="C19" s="14"/>
      <c r="D19" s="14"/>
      <c r="E19" s="15"/>
      <c r="F19" s="14"/>
      <c r="G19" s="14"/>
      <c r="H19" s="16" t="str">
        <f>IF(AND(C19&lt;&gt;"",D19&lt;&gt;"",E19&lt;&gt;""),C19*D19*E19,"")</f>
        <v/>
      </c>
    </row>
    <row r="20" spans="2:8">
      <c r="B20" s="13"/>
      <c r="C20" s="14"/>
      <c r="D20" s="14"/>
      <c r="E20" s="15"/>
      <c r="F20" s="14"/>
      <c r="G20" s="14"/>
      <c r="H20" s="16" t="str">
        <f>IF(AND(C20&lt;&gt;"",D20&lt;&gt;"",E20&lt;&gt;""),C20*D20*E20,"")</f>
        <v/>
      </c>
    </row>
    <row r="21" ht="15" customHeight="1" spans="2:8">
      <c r="F21" s="17" t="s">
        <v>25</v>
      </c>
      <c r="G21" s="17"/>
      <c r="H21" s="16">
        <v>600</v>
      </c>
    </row>
    <row r="22" ht="15" customHeight="1" spans="2:8">
      <c r="F22" s="18" t="s">
        <v>26</v>
      </c>
      <c r="G22" s="18"/>
      <c r="H22" s="19">
        <f>SUM(H18:H20)-N(H21)</f>
        <v>5400</v>
      </c>
    </row>
    <row r="24" ht="15" customHeight="1" spans="2:8">
      <c r="B24" s="11" t="s">
        <v>27</v>
      </c>
      <c r="C24" s="11"/>
      <c r="D24" s="11"/>
      <c r="E24" s="11"/>
      <c r="F24" s="11"/>
      <c r="G24" s="11"/>
      <c r="H24" s="11"/>
    </row>
    <row r="25" ht="19.5" customHeight="1" spans="2:8">
      <c r="B25" s="12" t="s">
        <v>28</v>
      </c>
      <c r="C25" s="12" t="s">
        <v>29</v>
      </c>
      <c r="D25" s="12"/>
      <c r="E25" s="12" t="s">
        <v>30</v>
      </c>
      <c r="F25" s="12"/>
      <c r="G25" s="12" t="s">
        <v>31</v>
      </c>
      <c r="H25" s="12" t="s">
        <v>32</v>
      </c>
    </row>
    <row r="26" spans="2:8">
      <c r="B26" s="14">
        <v>2</v>
      </c>
      <c r="C26" s="13" t="s">
        <v>33</v>
      </c>
      <c r="D26" s="13"/>
      <c r="E26" s="14">
        <v>1</v>
      </c>
      <c r="F26" s="14"/>
      <c r="G26" s="16">
        <v>1430</v>
      </c>
      <c r="H26" s="16">
        <f>G26*E26*B26</f>
        <v>2860</v>
      </c>
    </row>
    <row r="27" spans="2:8">
      <c r="B27" s="14"/>
      <c r="C27" s="13"/>
      <c r="D27" s="13"/>
      <c r="E27" s="14"/>
      <c r="F27" s="14"/>
      <c r="G27" s="16"/>
      <c r="H27" s="16" t="str">
        <f>IF(AND(B27&lt;&gt;"",G27&lt;&gt;""),B27*G27,"")</f>
        <v/>
      </c>
    </row>
    <row r="28" spans="2:8">
      <c r="B28" s="14"/>
      <c r="C28" s="13"/>
      <c r="D28" s="13"/>
      <c r="E28" s="14"/>
      <c r="F28" s="14"/>
      <c r="G28" s="16"/>
      <c r="H28" s="16" t="str">
        <f>IF(AND(B28&lt;&gt;"",G28&lt;&gt;""),B28*G28,"")</f>
        <v/>
      </c>
    </row>
    <row r="29" ht="15" customHeight="1" spans="2:8">
      <c r="F29" s="18" t="s">
        <v>34</v>
      </c>
      <c r="G29" s="18"/>
      <c r="H29" s="19">
        <f>SUM(H26:H28)</f>
        <v>2860</v>
      </c>
    </row>
    <row r="31" ht="15" customHeight="1" spans="2:8">
      <c r="F31" s="20" t="s">
        <v>35</v>
      </c>
      <c r="G31" s="20"/>
      <c r="H31" s="21">
        <f>H22+H29</f>
        <v>8260</v>
      </c>
    </row>
    <row r="32" ht="15" customHeight="1" spans="2:8">
      <c r="F32" s="20" t="s">
        <v>36</v>
      </c>
      <c r="G32" s="20"/>
      <c r="H32" s="21">
        <f>H31*0.1</f>
        <v>826</v>
      </c>
    </row>
    <row r="33" ht="15" customHeight="1" spans="2:8">
      <c r="F33" s="20" t="s">
        <v>37</v>
      </c>
      <c r="G33" s="20"/>
      <c r="H33" s="21">
        <f>(H31+H32)*0.05</f>
        <v>454.3</v>
      </c>
    </row>
    <row r="34" ht="21.75" customHeight="1" spans="2:8">
      <c r="F34" s="22" t="s">
        <v>38</v>
      </c>
      <c r="G34" s="22"/>
      <c r="H34" s="23">
        <f>H31+H32+H33</f>
        <v>9540.3</v>
      </c>
    </row>
    <row r="35" ht="15" customHeight="1" spans="2:8">
      <c r="F35" s="17" t="s">
        <v>39</v>
      </c>
      <c r="G35" s="17"/>
      <c r="H35" s="24">
        <v>9540.3</v>
      </c>
    </row>
    <row r="36" ht="15" customHeight="1" spans="2:8">
      <c r="F36" s="18" t="s">
        <v>40</v>
      </c>
      <c r="G36" s="18"/>
      <c r="H36" s="25">
        <f>H34-N(H35)</f>
        <v>0</v>
      </c>
    </row>
    <row r="38" ht="15" customHeight="1" spans="2:8">
      <c r="B38" s="26" t="s">
        <v>41</v>
      </c>
      <c r="C38" s="26"/>
      <c r="D38" s="26"/>
      <c r="E38" s="26"/>
      <c r="F38" s="26"/>
      <c r="G38" s="26"/>
      <c r="H38" s="26"/>
    </row>
    <row r="39" ht="15" customHeight="1" spans="2:8">
      <c r="B39" s="27" t="s">
        <v>42</v>
      </c>
      <c r="C39" s="27"/>
      <c r="D39" s="28" t="s">
        <v>43</v>
      </c>
      <c r="E39" s="28"/>
      <c r="F39" s="28"/>
      <c r="G39" s="28"/>
      <c r="H39" s="28"/>
    </row>
    <row r="40" ht="15" customHeight="1" spans="2:8">
      <c r="B40" s="27" t="s">
        <v>44</v>
      </c>
      <c r="C40" s="27"/>
      <c r="D40" s="28" t="s">
        <v>45</v>
      </c>
      <c r="E40" s="28"/>
      <c r="F40" s="28"/>
      <c r="G40" s="28"/>
      <c r="H40" s="28"/>
    </row>
    <row r="41" ht="15" customHeight="1" spans="2:8">
      <c r="B41" s="27" t="s">
        <v>46</v>
      </c>
      <c r="C41" s="27"/>
      <c r="D41" s="28" t="s">
        <v>47</v>
      </c>
      <c r="E41" s="28"/>
      <c r="F41" s="28"/>
      <c r="G41" s="28"/>
      <c r="H41" s="28"/>
    </row>
    <row r="42" ht="15" customHeight="1" spans="2:8">
      <c r="B42" s="27" t="s">
        <v>48</v>
      </c>
      <c r="C42" s="27"/>
      <c r="D42" s="28" t="s">
        <v>49</v>
      </c>
      <c r="E42" s="28"/>
      <c r="F42" s="28"/>
      <c r="G42" s="28"/>
      <c r="H42" s="28"/>
    </row>
    <row r="44" ht="15" customHeight="1" spans="2:8">
      <c r="B44" s="29" t="s">
        <v>50</v>
      </c>
      <c r="C44" s="29"/>
      <c r="D44" s="29"/>
      <c r="E44" s="29"/>
      <c r="F44" s="29"/>
      <c r="G44" s="29"/>
      <c r="H44" s="29"/>
    </row>
    <row r="45" ht="15" customHeight="1" spans="2:8">
      <c r="B45" s="30" t="s">
        <v>51</v>
      </c>
      <c r="C45" s="30"/>
      <c r="D45" s="30"/>
      <c r="E45" s="30"/>
      <c r="F45" s="30"/>
      <c r="G45" s="30"/>
      <c r="H45" s="30"/>
    </row>
    <row r="46" spans="2:8">
      <c r="B46" s="30"/>
      <c r="C46" s="30"/>
      <c r="D46" s="30"/>
      <c r="E46" s="30"/>
      <c r="F46" s="30"/>
      <c r="G46" s="30"/>
      <c r="H46" s="30"/>
    </row>
    <row r="47" spans="2:8">
      <c r="B47" s="30"/>
      <c r="C47" s="30"/>
      <c r="D47" s="30"/>
      <c r="E47" s="30"/>
      <c r="F47" s="30"/>
      <c r="G47" s="30"/>
      <c r="H47" s="30"/>
    </row>
    <row r="48" spans="2:8">
      <c r="B48" s="30"/>
      <c r="C48" s="30"/>
      <c r="D48" s="30"/>
      <c r="E48" s="30"/>
      <c r="F48" s="30"/>
      <c r="G48" s="30"/>
      <c r="H48" s="30"/>
    </row>
    <row r="49" ht="15" customHeight="1" spans="2:8">
      <c r="B49" s="31" t="s">
        <v>52</v>
      </c>
      <c r="C49" s="31"/>
      <c r="D49" s="31"/>
      <c r="E49" s="31"/>
      <c r="F49" s="31"/>
      <c r="G49" s="31"/>
      <c r="H49" s="31"/>
    </row>
  </sheetData>
  <mergeCells count="44">
    <mergeCell ref="E2:H2"/>
    <mergeCell ref="E3:H3"/>
    <mergeCell ref="E4:H4"/>
    <mergeCell ref="E5:H5"/>
    <mergeCell ref="E6:H6"/>
    <mergeCell ref="B9:D9"/>
    <mergeCell ref="G11:H11"/>
    <mergeCell ref="B12:D12"/>
    <mergeCell ref="G12:H12"/>
    <mergeCell ref="B13:D13"/>
    <mergeCell ref="G13:H13"/>
    <mergeCell ref="B14:D14"/>
    <mergeCell ref="G14:H14"/>
    <mergeCell ref="B16:H16"/>
    <mergeCell ref="F21:G21"/>
    <mergeCell ref="F22:G22"/>
    <mergeCell ref="B24:H24"/>
    <mergeCell ref="C25:D25"/>
    <mergeCell ref="E25:F25"/>
    <mergeCell ref="C26:D26"/>
    <mergeCell ref="E26:F26"/>
    <mergeCell ref="C27:D27"/>
    <mergeCell ref="E27:F27"/>
    <mergeCell ref="C28:D28"/>
    <mergeCell ref="E28:F28"/>
    <mergeCell ref="F29:G29"/>
    <mergeCell ref="F31:G31"/>
    <mergeCell ref="F32:G32"/>
    <mergeCell ref="F33:G33"/>
    <mergeCell ref="F34:G34"/>
    <mergeCell ref="F35:G35"/>
    <mergeCell ref="F36:G36"/>
    <mergeCell ref="B38:H38"/>
    <mergeCell ref="B39:C39"/>
    <mergeCell ref="D39:H39"/>
    <mergeCell ref="B40:C40"/>
    <mergeCell ref="D40:H40"/>
    <mergeCell ref="B41:C41"/>
    <mergeCell ref="D41:H41"/>
    <mergeCell ref="B42:C42"/>
    <mergeCell ref="D42:H42"/>
    <mergeCell ref="B44:H44"/>
    <mergeCell ref="B49:H49"/>
    <mergeCell ref="B45:H48"/>
  </mergeCells>
  <pageMargins left="0.4" right="0.4" top="0.5" bottom="0.4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2026-07-28T03:54:00Z</dcterms:created>
  <dcterms:modified xsi:type="dcterms:W3CDTF">2026-08-24T07:24:53Z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E9FF68B674324C50BA103A892F327FCC_13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